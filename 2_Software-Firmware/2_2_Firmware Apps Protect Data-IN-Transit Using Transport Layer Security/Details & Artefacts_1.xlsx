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Windows Users\COFE-POE\STQC_2026-01-26\2_Software-Firmware\2_2_Firmware Apps Protect Data-IN-Transit Using Transport Layer Security\"/>
    </mc:Choice>
  </mc:AlternateContent>
  <xr:revisionPtr revIDLastSave="0" documentId="13_ncr:1_{70D04FD3-DAB8-4AF0-8547-940984287EDC}" xr6:coauthVersionLast="47" xr6:coauthVersionMax="47" xr10:uidLastSave="{00000000-0000-0000-0000-000000000000}"/>
  <bookViews>
    <workbookView xWindow="0" yWindow="855" windowWidth="23835" windowHeight="13275" activeTab="5" xr2:uid="{00000000-000D-0000-FFFF-FFFF00000000}"/>
  </bookViews>
  <sheets>
    <sheet name="Sheet1" sheetId="3" r:id="rId1"/>
    <sheet name="Sheet 2" sheetId="1" r:id="rId2"/>
    <sheet name="Sheet 3" sheetId="4" r:id="rId3"/>
    <sheet name="Sheet 4" sheetId="5" r:id="rId4"/>
    <sheet name="Sheet 5" sheetId="6" r:id="rId5"/>
    <sheet name="Sheet 6" sheetId="7" r:id="rId6"/>
    <sheet name="Sheet 7" sheetId="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3" l="1"/>
  <c r="M18" i="3"/>
  <c r="M10" i="3"/>
  <c r="M7" i="3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986F5E0F32E41549E6369E9006D39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433655" y="1266825"/>
          <a:ext cx="5267325" cy="3381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8AE4B3966474005A188716CEAE390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49965" y="2714625"/>
          <a:ext cx="5486400" cy="1988820"/>
        </a:xfrm>
        <a:prstGeom prst="rect">
          <a:avLst/>
        </a:prstGeom>
      </xdr:spPr>
    </xdr:pic>
  </etc:cellImage>
  <etc:cellImage>
    <xdr:pic>
      <xdr:nvPicPr>
        <xdr:cNvPr id="4" name="ID_FFDE1BAD95C440ADB61A64257191C63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211155" y="4911725"/>
          <a:ext cx="5095875" cy="1933575"/>
        </a:xfrm>
        <a:prstGeom prst="rect">
          <a:avLst/>
        </a:prstGeom>
      </xdr:spPr>
    </xdr:pic>
  </etc:cellImage>
  <etc:cellImage>
    <xdr:pic>
      <xdr:nvPicPr>
        <xdr:cNvPr id="5" name="ID_ACA5310D3239448A8DB31AB20ED6604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211155" y="9523095"/>
          <a:ext cx="5391150" cy="2457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4B87EA69AA9446188992AE37640F9B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221950" y="8265795"/>
          <a:ext cx="7048500" cy="72390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<sst xmlns="http://schemas.openxmlformats.org/spreadsheetml/2006/main" count="268" uniqueCount="225">
  <si>
    <t>INTERFACES DETAILS</t>
  </si>
  <si>
    <t>Note: The information should be in sync with SoC datasheet</t>
  </si>
  <si>
    <t>S.N.</t>
  </si>
  <si>
    <t>Interface Name</t>
  </si>
  <si>
    <t>Groups</t>
  </si>
  <si>
    <t>Interface</t>
  </si>
  <si>
    <t>Status</t>
  </si>
  <si>
    <t>Purpose</t>
  </si>
  <si>
    <t>Pins</t>
  </si>
  <si>
    <t>Use</t>
  </si>
  <si>
    <t>Software Artefacts if Disable</t>
  </si>
  <si>
    <t>Steps to demonstrate Software Artefacts (Document Name)</t>
  </si>
  <si>
    <t>SoC Pin No. &amp; Name as per Datasheet</t>
  </si>
  <si>
    <t>Remark</t>
  </si>
  <si>
    <t>reply</t>
  </si>
  <si>
    <t>UART</t>
  </si>
  <si>
    <t>Group1</t>
  </si>
  <si>
    <t>uart 0</t>
  </si>
  <si>
    <t>open</t>
  </si>
  <si>
    <t>multiplexed to the GPIO</t>
  </si>
  <si>
    <t>CTS</t>
  </si>
  <si>
    <t>gpio</t>
  </si>
  <si>
    <t>60 &amp;  UART0_CTS</t>
  </si>
  <si>
    <t>Ok</t>
  </si>
  <si>
    <t>RTS</t>
  </si>
  <si>
    <t>61 &amp;  UART0_RTS</t>
  </si>
  <si>
    <t>Rx</t>
  </si>
  <si>
    <t xml:space="preserve">63 &amp; UART0_RX </t>
  </si>
  <si>
    <t>For UART 0 Pin 62 and 63 we are unable to track in schematics. Please provide complete schematics details and diagram for UART0_RX/TX</t>
  </si>
  <si>
    <t>Tx</t>
  </si>
  <si>
    <t>62 &amp; UART0_TX</t>
  </si>
  <si>
    <t>uart 1</t>
  </si>
  <si>
    <t>close</t>
  </si>
  <si>
    <t xml:space="preserve">console debug port </t>
  </si>
  <si>
    <t xml:space="preserve">rx for console debug port </t>
  </si>
  <si>
    <t>65 &amp; UART1_RX</t>
  </si>
  <si>
    <t>These Ports must be close as per the STQC. If these ports are open then we must secure them, please share the mechinsim to protect the interface</t>
  </si>
  <si>
    <t>This port has been closed in the software and there will be no output</t>
  </si>
  <si>
    <t xml:space="preserve">tx for console debug port </t>
  </si>
  <si>
    <t>64 &amp; UART1_TX</t>
  </si>
  <si>
    <t>Interface 1</t>
  </si>
  <si>
    <t>Interface 2</t>
  </si>
  <si>
    <t>JTAG</t>
  </si>
  <si>
    <t>jtag</t>
  </si>
  <si>
    <t>TCK</t>
  </si>
  <si>
    <t>60 &amp;  JTAG_TCK</t>
  </si>
  <si>
    <t>Please share The details to verify that JTAG interface is closed . Like Code snippet, Artefact and diagram</t>
  </si>
  <si>
    <t>TMS</t>
  </si>
  <si>
    <t>61 &amp;  JTAG_TMS</t>
  </si>
  <si>
    <t>JTAG is completely controlled by hardware and has been reused as GPIO</t>
  </si>
  <si>
    <t>TDI</t>
  </si>
  <si>
    <t>62 &amp;  JTAG_TDI</t>
  </si>
  <si>
    <t>TDO</t>
  </si>
  <si>
    <t>53 &amp;  JTAG_TDO</t>
  </si>
  <si>
    <t>TRST</t>
  </si>
  <si>
    <t>63 &amp;  JTAG_TRST</t>
  </si>
  <si>
    <t>I2C</t>
  </si>
  <si>
    <t>i2c</t>
  </si>
  <si>
    <t>Sda</t>
  </si>
  <si>
    <t>75 &amp; I2C_SDA</t>
  </si>
  <si>
    <t>Please share The details to verify that I2S interface is closed . Like Code snippet, Artefact and diagram</t>
  </si>
  <si>
    <t>Correction: The i2c interface is used to communicate with the eeprom,The data stored in eeprom is encrypted with aes256_cbc to ensure security</t>
  </si>
  <si>
    <t>Scl</t>
  </si>
  <si>
    <t>76 &amp; I2C_SCL</t>
  </si>
  <si>
    <t>USB</t>
  </si>
  <si>
    <t>usb</t>
  </si>
  <si>
    <t>usb_dev_vbus</t>
  </si>
  <si>
    <t>31 &amp; USB_DEV_VBUS</t>
  </si>
  <si>
    <t>usb_av33</t>
  </si>
  <si>
    <t>32 &amp; USB_AV33</t>
  </si>
  <si>
    <t>usb_host_dp</t>
  </si>
  <si>
    <t>33 &amp; USB_HOST_DP</t>
  </si>
  <si>
    <t>usb_host_dm</t>
  </si>
  <si>
    <t>34 &amp; USB_HOST_DM</t>
  </si>
  <si>
    <t>SPI</t>
  </si>
  <si>
    <t>spi</t>
  </si>
  <si>
    <t>spi flash</t>
  </si>
  <si>
    <t>WPN_SIO2</t>
  </si>
  <si>
    <t>54  &amp; SPI_WPN_SIO[2]</t>
  </si>
  <si>
    <t>Please share the procedure along with code snippet or other details that How to Prove that This interface is secure.</t>
  </si>
  <si>
    <t>MISO_SIO</t>
  </si>
  <si>
    <t>55  &amp; SPO_MISO_SIO[1]</t>
  </si>
  <si>
    <t>CSN</t>
  </si>
  <si>
    <t>56  &amp;  SPI_CSn</t>
  </si>
  <si>
    <t>CLK</t>
  </si>
  <si>
    <t>57  &amp;  SPI_CLK</t>
  </si>
  <si>
    <t>MOSI_SIO0</t>
  </si>
  <si>
    <t>58  &amp;  SPI_MOSI_SIO[0]</t>
  </si>
  <si>
    <t>HOLD_SIO3</t>
  </si>
  <si>
    <t>59  &amp;  SPI_HOLD_SIO[3]</t>
  </si>
  <si>
    <t>KEYS &amp; CERTIFICATE DETAILS</t>
  </si>
  <si>
    <t>S.N</t>
  </si>
  <si>
    <t>Key/Certificate Name</t>
  </si>
  <si>
    <t>Key Type</t>
  </si>
  <si>
    <t>Algorithm</t>
  </si>
  <si>
    <t>Uniqueness</t>
  </si>
  <si>
    <t>zeroization</t>
  </si>
  <si>
    <t>Storage Path</t>
  </si>
  <si>
    <t>Source of Generation</t>
  </si>
  <si>
    <t>Boot Key</t>
  </si>
  <si>
    <t>Asymmetric</t>
  </si>
  <si>
    <t>RSA2048</t>
  </si>
  <si>
    <t>Secure Boot</t>
  </si>
  <si>
    <t>SoC+Firmware</t>
  </si>
  <si>
    <t>When device will be EOL</t>
  </si>
  <si>
    <t>in OTP memory</t>
  </si>
  <si>
    <t>CP PLUS HSM Server</t>
  </si>
  <si>
    <t>How you are securing HTTPS, RTSPS, SSH, and if device supports ONVIF then how you are securing this.</t>
  </si>
  <si>
    <t>MEMORY PROTECTION DETAILS</t>
  </si>
  <si>
    <t>Protection Name</t>
  </si>
  <si>
    <t>Requirement</t>
  </si>
  <si>
    <t>Depen On</t>
  </si>
  <si>
    <t>Demonstration</t>
  </si>
  <si>
    <t>ASLR Level-2</t>
  </si>
  <si>
    <t>Mandatory</t>
  </si>
  <si>
    <t>Enable</t>
  </si>
  <si>
    <t>NX/DEP</t>
  </si>
  <si>
    <t>CANARY</t>
  </si>
  <si>
    <t>Optional</t>
  </si>
  <si>
    <t>RELRO</t>
  </si>
  <si>
    <t>PIE</t>
  </si>
  <si>
    <t>Fortify</t>
  </si>
  <si>
    <t>List of Sensitive Information</t>
  </si>
  <si>
    <t>Sensitive Information</t>
  </si>
  <si>
    <t>Encrypted/Decrypted By</t>
  </si>
  <si>
    <t>Storage Path of Sensitive Information</t>
  </si>
  <si>
    <t>COMMUNICATION PROTOCOLS</t>
  </si>
  <si>
    <t>Protocols</t>
  </si>
  <si>
    <t>Reports</t>
  </si>
  <si>
    <t>SBOM List with Download Links</t>
  </si>
  <si>
    <t>No.</t>
  </si>
  <si>
    <t>OSS Name</t>
  </si>
  <si>
    <t>OSS Version</t>
  </si>
  <si>
    <t>Function of OSS</t>
  </si>
  <si>
    <t xml:space="preserve"> Maven site URL - from where the OSS package can be downloaded</t>
  </si>
  <si>
    <t>License</t>
  </si>
  <si>
    <t>https://www.kernel.org/</t>
  </si>
  <si>
    <t>GPLv2</t>
  </si>
  <si>
    <t>HARDCODED CREDENTIALS DETAILS</t>
  </si>
  <si>
    <t>Hardcode Information</t>
  </si>
  <si>
    <t>Acceptable/Not Acceptable/Optional</t>
  </si>
  <si>
    <t>Remarks</t>
  </si>
  <si>
    <t>IP Address</t>
  </si>
  <si>
    <t>If any IP avaiable then need to justify and give clarification on it.</t>
  </si>
  <si>
    <t xml:space="preserve">Username </t>
  </si>
  <si>
    <t>For username avaiable, need to justify and give clarification on it.</t>
  </si>
  <si>
    <t>Password</t>
  </si>
  <si>
    <t>Not Acceptable</t>
  </si>
  <si>
    <t>GB-28181</t>
  </si>
  <si>
    <t>Chinese Character</t>
  </si>
  <si>
    <t>Vendor information</t>
  </si>
  <si>
    <t>Chinese URL</t>
  </si>
  <si>
    <t>Any other URL</t>
  </si>
  <si>
    <t>If any URL available then need to give valid reason</t>
  </si>
  <si>
    <t>Propriety Protocol</t>
  </si>
  <si>
    <t>If any proprietary protocol is available then need to give valid reason</t>
  </si>
  <si>
    <t>Chinese company name</t>
  </si>
  <si>
    <t>If any chinese company available then need to give valid reason</t>
  </si>
  <si>
    <t>appweb</t>
  </si>
  <si>
    <t>7.2.0</t>
  </si>
  <si>
    <t>HTTP Web Server</t>
  </si>
  <si>
    <t>https://github.com/embedthis/appweb/</t>
  </si>
  <si>
    <t>goahead</t>
  </si>
  <si>
    <t>Embedded Web Server</t>
  </si>
  <si>
    <t>https://www.embedthis.com/goahead/</t>
  </si>
  <si>
    <t>GPL</t>
  </si>
  <si>
    <t>lua</t>
  </si>
  <si>
    <t>Scripting Language</t>
  </si>
  <si>
    <t>https://lua.org/</t>
  </si>
  <si>
    <t>MIT</t>
  </si>
  <si>
    <t>lwIP</t>
  </si>
  <si>
    <t>2.1.2</t>
  </si>
  <si>
    <t>TCP-IP protocol stack</t>
  </si>
  <si>
    <t>https://savannah.nongnu.org/projects/lwip/</t>
  </si>
  <si>
    <t>BSD</t>
  </si>
  <si>
    <t>mbed TLS</t>
  </si>
  <si>
    <t>2.16.0</t>
  </si>
  <si>
    <t>Encryption Library</t>
  </si>
  <si>
    <t>https://github.com/Mbed-TLS/mbedtls</t>
  </si>
  <si>
    <t>OpenSSL</t>
  </si>
  <si>
    <t>Provides encryption and secure communications</t>
  </si>
  <si>
    <t>https://github.com/openssl/</t>
  </si>
  <si>
    <t>MIT &amp; GPL</t>
  </si>
  <si>
    <t>FreeType</t>
  </si>
  <si>
    <t>2.11.0</t>
  </si>
  <si>
    <t>Handling font files and rendering fonts</t>
  </si>
  <si>
    <t>http://www.freetype.org/</t>
  </si>
  <si>
    <t>FreeType License &amp; GPL</t>
  </si>
  <si>
    <t>Data Compression</t>
  </si>
  <si>
    <t>https://github.com/madler/zlib</t>
  </si>
  <si>
    <t>zlib License</t>
  </si>
  <si>
    <t>5.4.7</t>
    <phoneticPr fontId="7" type="noConversion"/>
  </si>
  <si>
    <t>3.5.0</t>
    <phoneticPr fontId="7" type="noConversion"/>
  </si>
  <si>
    <t>zlib</t>
    <phoneticPr fontId="7" type="noConversion"/>
  </si>
  <si>
    <t>1.3.1</t>
    <phoneticPr fontId="7" type="noConversion"/>
  </si>
  <si>
    <t>libwebsockets</t>
    <phoneticPr fontId="7" type="noConversion"/>
  </si>
  <si>
    <t>4.3.3</t>
    <phoneticPr fontId="7" type="noConversion"/>
  </si>
  <si>
    <t>Web Socket server and client</t>
    <phoneticPr fontId="7" type="noConversion"/>
  </si>
  <si>
    <t>https://github.com/warmcat/libwebsockets</t>
    <phoneticPr fontId="7" type="noConversion"/>
  </si>
  <si>
    <t>jsoncpp</t>
    <phoneticPr fontId="7" type="noConversion"/>
  </si>
  <si>
    <t>1.9.6</t>
    <phoneticPr fontId="7" type="noConversion"/>
  </si>
  <si>
    <t>JSON parsing and generation</t>
    <phoneticPr fontId="7" type="noConversion"/>
  </si>
  <si>
    <t>https://github.com/open-source-parsers/jsoncpp</t>
    <phoneticPr fontId="7" type="noConversion"/>
  </si>
  <si>
    <t>MIT/Public Domain</t>
  </si>
  <si>
    <t>dropbear</t>
    <phoneticPr fontId="7" type="noConversion"/>
  </si>
  <si>
    <t>Provide secure remote login via SSH</t>
    <phoneticPr fontId="7" type="noConversion"/>
  </si>
  <si>
    <t>https://github.com/mkj/dropbear</t>
    <phoneticPr fontId="7" type="noConversion"/>
  </si>
  <si>
    <t>libiconv</t>
    <phoneticPr fontId="7" type="noConversion"/>
  </si>
  <si>
    <t>1.17</t>
    <phoneticPr fontId="7" type="noConversion"/>
  </si>
  <si>
    <t>Conversion of character encoding</t>
    <phoneticPr fontId="7" type="noConversion"/>
  </si>
  <si>
    <t>https://www.gnu.org/software/libiconv/</t>
    <phoneticPr fontId="7" type="noConversion"/>
  </si>
  <si>
    <t>uboot</t>
    <phoneticPr fontId="7" type="noConversion"/>
  </si>
  <si>
    <t>Linux uboot</t>
    <phoneticPr fontId="7" type="noConversion"/>
  </si>
  <si>
    <t>https://gitlab.denx.de/u-boot/u-boot</t>
  </si>
  <si>
    <t>GPLv2</t>
    <phoneticPr fontId="7" type="noConversion"/>
  </si>
  <si>
    <t>busybox</t>
    <phoneticPr fontId="7" type="noConversion"/>
  </si>
  <si>
    <t>1.37.0</t>
  </si>
  <si>
    <t xml:space="preserve">Linux busybox </t>
    <phoneticPr fontId="7" type="noConversion"/>
  </si>
  <si>
    <t>https://busybox.net/downloads/</t>
  </si>
  <si>
    <t>kernel</t>
    <phoneticPr fontId="7" type="noConversion"/>
  </si>
  <si>
    <t>Linux Kernel and other utilities</t>
    <phoneticPr fontId="7" type="noConversion"/>
  </si>
  <si>
    <t>4.1.1</t>
    <phoneticPr fontId="7" type="noConversion"/>
  </si>
  <si>
    <t>6.6.119</t>
    <phoneticPr fontId="7" type="noConversion"/>
  </si>
  <si>
    <t>Please refer to the schematic diagram "Schematic CX_I2_P_R01_J03_V20(RTL3917+F37P)_20251028.pdf", I screenshot this part to see</t>
    <phoneticPr fontId="7" type="noConversion"/>
  </si>
  <si>
    <t>close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</si>
</sst>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1"/>
      <color theme="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name val="Calibri"/>
      <family val="2"/>
    </font>
    <font>
      <sz val="11"/>
      <color indexed="8"/>
      <name val="宋体"/>
      <family val="3"/>
      <charset val="134"/>
    </font>
    <font>
      <b/>
      <sz val="14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" xfId="0" applyFont="1" applyBorder="1"/>
    <xf numFmtId="0" fontId="2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/>
    <xf numFmtId="0" fontId="4" fillId="0" borderId="3" xfId="0" applyFont="1" applyBorder="1" applyAlignment="1">
      <alignment horizontal="left"/>
    </xf>
    <xf numFmtId="0" fontId="4" fillId="0" borderId="3" xfId="0" applyFont="1" applyBorder="1"/>
    <xf numFmtId="49" fontId="4" fillId="0" borderId="3" xfId="0" applyNumberFormat="1" applyFont="1" applyBorder="1" applyAlignment="1">
      <alignment horizontal="left"/>
    </xf>
    <xf numFmtId="0" fontId="0" fillId="3" borderId="1" xfId="0" applyFill="1" applyBorder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5" borderId="5" xfId="0" applyFill="1" applyBorder="1" applyAlignment="1">
      <alignment horizontal="left" vertical="center"/>
    </xf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horizontal="left" vertical="center"/>
    </xf>
    <xf numFmtId="0" fontId="0" fillId="5" borderId="9" xfId="0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3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4" xfId="0" applyFont="1" applyBorder="1"/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Relationship Id="rId5" Type="http://schemas.openxmlformats.org/officeDocument/2006/relationships/image" Target="media/image5.png"/><Relationship Id="rId4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19" Type="http://www.wps.cn/officeDocument/2020/cellImage" Target="cellimage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kj/dropbear" TargetMode="External"/><Relationship Id="rId2" Type="http://schemas.openxmlformats.org/officeDocument/2006/relationships/hyperlink" Target="https://github.com/open-source-parsers/jsoncpp" TargetMode="External"/><Relationship Id="rId1" Type="http://schemas.openxmlformats.org/officeDocument/2006/relationships/hyperlink" Target="https://github.com/warmcat/libwebsockets" TargetMode="External"/><Relationship Id="rId4" Type="http://schemas.openxmlformats.org/officeDocument/2006/relationships/hyperlink" Target="https://www.gnu.org/software/libicon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opLeftCell="A17" workbookViewId="0">
      <selection activeCell="I30" sqref="I30"/>
    </sheetView>
  </sheetViews>
  <sheetFormatPr defaultColWidth="9" defaultRowHeight="14.25" x14ac:dyDescent="0.2"/>
  <cols>
    <col min="1" max="1" width="8.625" style="26"/>
    <col min="2" max="2" width="14.625" style="17" customWidth="1"/>
    <col min="3" max="3" width="12.125" style="26" customWidth="1"/>
    <col min="4" max="6" width="13.25" style="26" customWidth="1"/>
    <col min="7" max="7" width="12.75" style="17" customWidth="1"/>
    <col min="8" max="8" width="28.5" style="17" customWidth="1"/>
    <col min="9" max="9" width="18.125" style="17" customWidth="1"/>
    <col min="10" max="10" width="19" style="17" customWidth="1"/>
    <col min="11" max="11" width="41.125" style="17" customWidth="1"/>
    <col min="12" max="12" width="110.125" style="17" customWidth="1"/>
    <col min="13" max="13" width="33" style="17" customWidth="1"/>
    <col min="14" max="16384" width="9" style="17"/>
  </cols>
  <sheetData>
    <row r="1" spans="1:13" x14ac:dyDescent="0.2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3" x14ac:dyDescent="0.2">
      <c r="A2" s="18" t="s">
        <v>1</v>
      </c>
      <c r="B2" s="19"/>
      <c r="C2" s="20"/>
      <c r="D2" s="20"/>
      <c r="E2" s="20"/>
      <c r="F2" s="20"/>
      <c r="G2" s="19"/>
      <c r="H2" s="19"/>
      <c r="I2" s="19"/>
      <c r="J2" s="19"/>
      <c r="K2" s="21"/>
    </row>
    <row r="4" spans="1:13" x14ac:dyDescent="0.2">
      <c r="A4" s="22" t="s">
        <v>2</v>
      </c>
      <c r="B4" s="23" t="s">
        <v>3</v>
      </c>
      <c r="C4" s="22" t="s">
        <v>4</v>
      </c>
      <c r="D4" s="22" t="s">
        <v>5</v>
      </c>
      <c r="E4" s="22" t="s">
        <v>6</v>
      </c>
      <c r="F4" s="22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3" t="s">
        <v>12</v>
      </c>
      <c r="L4" s="23" t="s">
        <v>13</v>
      </c>
      <c r="M4" s="23" t="s">
        <v>14</v>
      </c>
    </row>
    <row r="5" spans="1:13" x14ac:dyDescent="0.2">
      <c r="A5" s="16">
        <v>1</v>
      </c>
      <c r="B5" s="24" t="s">
        <v>15</v>
      </c>
      <c r="C5" s="16" t="s">
        <v>16</v>
      </c>
      <c r="D5" s="16" t="s">
        <v>17</v>
      </c>
      <c r="E5" s="16" t="s">
        <v>18</v>
      </c>
      <c r="F5" s="40" t="s">
        <v>19</v>
      </c>
      <c r="G5" s="24" t="s">
        <v>20</v>
      </c>
      <c r="H5" s="24" t="s">
        <v>21</v>
      </c>
      <c r="I5" s="24"/>
      <c r="J5" s="24"/>
      <c r="K5" s="24" t="s">
        <v>22</v>
      </c>
      <c r="L5" s="34" t="s">
        <v>23</v>
      </c>
    </row>
    <row r="6" spans="1:13" x14ac:dyDescent="0.2">
      <c r="A6" s="16"/>
      <c r="B6" s="24"/>
      <c r="C6" s="16"/>
      <c r="D6" s="16"/>
      <c r="E6" s="16"/>
      <c r="F6" s="41"/>
      <c r="G6" s="24" t="s">
        <v>24</v>
      </c>
      <c r="H6" s="24" t="s">
        <v>21</v>
      </c>
      <c r="I6" s="24"/>
      <c r="J6" s="24"/>
      <c r="K6" s="16" t="s">
        <v>25</v>
      </c>
      <c r="L6" s="36"/>
    </row>
    <row r="7" spans="1:13" x14ac:dyDescent="0.2">
      <c r="A7" s="16"/>
      <c r="B7" s="24"/>
      <c r="C7" s="16"/>
      <c r="D7" s="16"/>
      <c r="E7" s="16"/>
      <c r="F7" s="41"/>
      <c r="G7" s="24" t="s">
        <v>26</v>
      </c>
      <c r="H7" s="24"/>
      <c r="I7" s="24"/>
      <c r="J7" s="24"/>
      <c r="K7" s="24" t="s">
        <v>27</v>
      </c>
      <c r="L7" s="34" t="s">
        <v>28</v>
      </c>
      <c r="M7" s="25" t="e" vm="1">
        <f ca="1">_xlfn.DISPIMG("ID_4986F5E0F32E41549E6369E9006D3948",1)</f>
        <v>#NAME?</v>
      </c>
    </row>
    <row r="8" spans="1:13" ht="71.25" x14ac:dyDescent="0.2">
      <c r="A8" s="16"/>
      <c r="B8" s="24"/>
      <c r="C8" s="16"/>
      <c r="D8" s="16"/>
      <c r="E8" s="16"/>
      <c r="F8" s="42"/>
      <c r="G8" s="24" t="s">
        <v>29</v>
      </c>
      <c r="H8" s="24"/>
      <c r="I8" s="24"/>
      <c r="J8" s="24"/>
      <c r="K8" s="24" t="s">
        <v>30</v>
      </c>
      <c r="L8" s="36"/>
      <c r="M8" s="32" t="s">
        <v>223</v>
      </c>
    </row>
    <row r="9" spans="1:13" ht="28.5" x14ac:dyDescent="0.2">
      <c r="A9" s="16"/>
      <c r="B9" s="24"/>
      <c r="C9" s="16"/>
      <c r="D9" s="16" t="s">
        <v>31</v>
      </c>
      <c r="E9" s="16" t="s">
        <v>32</v>
      </c>
      <c r="F9" s="40" t="s">
        <v>33</v>
      </c>
      <c r="G9" s="24" t="s">
        <v>26</v>
      </c>
      <c r="H9" s="24" t="s">
        <v>34</v>
      </c>
      <c r="I9" s="24"/>
      <c r="J9" s="24"/>
      <c r="K9" s="24" t="s">
        <v>35</v>
      </c>
      <c r="L9" s="37" t="s">
        <v>36</v>
      </c>
      <c r="M9" s="25" t="s">
        <v>37</v>
      </c>
    </row>
    <row r="10" spans="1:13" x14ac:dyDescent="0.2">
      <c r="A10" s="16"/>
      <c r="B10" s="24"/>
      <c r="C10" s="16"/>
      <c r="D10" s="16"/>
      <c r="E10" s="16"/>
      <c r="F10" s="41"/>
      <c r="G10" s="24" t="s">
        <v>29</v>
      </c>
      <c r="H10" s="24" t="s">
        <v>38</v>
      </c>
      <c r="I10" s="24"/>
      <c r="J10" s="24"/>
      <c r="K10" s="24" t="s">
        <v>39</v>
      </c>
      <c r="L10" s="37"/>
      <c r="M10" s="17" t="e" vm="1">
        <f ca="1">_xlfn.DISPIMG("ID_F8AE4B3966474005A188716CEAE39010",1)</f>
        <v>#NAME?</v>
      </c>
    </row>
    <row r="11" spans="1:13" x14ac:dyDescent="0.2">
      <c r="A11" s="16"/>
      <c r="B11" s="24"/>
      <c r="C11" s="16"/>
      <c r="D11" s="16"/>
      <c r="E11" s="16"/>
      <c r="F11" s="42"/>
      <c r="G11" s="24"/>
      <c r="H11" s="24"/>
      <c r="I11" s="24"/>
      <c r="J11" s="24"/>
      <c r="K11" s="24"/>
      <c r="L11" s="24"/>
    </row>
    <row r="12" spans="1:13" x14ac:dyDescent="0.2">
      <c r="A12" s="16"/>
      <c r="B12" s="24"/>
      <c r="C12" s="16" t="s">
        <v>16</v>
      </c>
      <c r="D12" s="16" t="s">
        <v>40</v>
      </c>
      <c r="E12" s="16"/>
      <c r="F12" s="34"/>
      <c r="G12" s="24"/>
      <c r="H12" s="24"/>
      <c r="I12" s="24"/>
      <c r="J12" s="24"/>
      <c r="K12" s="24"/>
      <c r="L12" s="24"/>
    </row>
    <row r="13" spans="1:13" x14ac:dyDescent="0.2">
      <c r="A13" s="16"/>
      <c r="B13" s="24"/>
      <c r="C13" s="16"/>
      <c r="D13" s="16"/>
      <c r="E13" s="16"/>
      <c r="F13" s="35"/>
      <c r="G13" s="24"/>
      <c r="H13" s="24"/>
      <c r="I13" s="24"/>
      <c r="J13" s="24"/>
      <c r="K13" s="24"/>
      <c r="L13" s="24"/>
    </row>
    <row r="14" spans="1:13" x14ac:dyDescent="0.2">
      <c r="A14" s="16"/>
      <c r="B14" s="24"/>
      <c r="C14" s="16"/>
      <c r="D14" s="16"/>
      <c r="E14" s="16"/>
      <c r="F14" s="36"/>
      <c r="G14" s="24"/>
      <c r="H14" s="24"/>
      <c r="I14" s="24"/>
      <c r="J14" s="24"/>
      <c r="K14" s="24"/>
      <c r="L14" s="24"/>
    </row>
    <row r="15" spans="1:13" x14ac:dyDescent="0.2">
      <c r="A15" s="16"/>
      <c r="B15" s="24"/>
      <c r="C15" s="16"/>
      <c r="D15" s="16" t="s">
        <v>41</v>
      </c>
      <c r="E15" s="16"/>
      <c r="F15" s="34"/>
      <c r="G15" s="24"/>
      <c r="H15" s="24"/>
      <c r="I15" s="24"/>
      <c r="J15" s="24"/>
      <c r="K15" s="24"/>
      <c r="L15" s="24"/>
    </row>
    <row r="16" spans="1:13" x14ac:dyDescent="0.2">
      <c r="A16" s="16"/>
      <c r="B16" s="24"/>
      <c r="C16" s="16"/>
      <c r="D16" s="16"/>
      <c r="E16" s="16"/>
      <c r="F16" s="35"/>
      <c r="G16" s="24"/>
      <c r="H16" s="24"/>
      <c r="I16" s="24"/>
      <c r="J16" s="24"/>
      <c r="K16" s="24"/>
      <c r="L16" s="24"/>
    </row>
    <row r="17" spans="1:13" x14ac:dyDescent="0.2">
      <c r="A17" s="16"/>
      <c r="B17" s="24"/>
      <c r="C17" s="16"/>
      <c r="D17" s="16"/>
      <c r="E17" s="16"/>
      <c r="F17" s="36"/>
      <c r="G17" s="24"/>
      <c r="H17" s="24"/>
      <c r="I17" s="24"/>
      <c r="J17" s="24"/>
      <c r="K17" s="24"/>
      <c r="L17" s="24"/>
    </row>
    <row r="18" spans="1:13" x14ac:dyDescent="0.2">
      <c r="A18" s="16">
        <v>2</v>
      </c>
      <c r="B18" s="24" t="s">
        <v>42</v>
      </c>
      <c r="C18" s="16" t="s">
        <v>16</v>
      </c>
      <c r="D18" s="16" t="s">
        <v>43</v>
      </c>
      <c r="E18" s="16" t="s">
        <v>32</v>
      </c>
      <c r="F18" s="34"/>
      <c r="G18" s="24" t="s">
        <v>44</v>
      </c>
      <c r="H18" s="24"/>
      <c r="I18" s="24"/>
      <c r="J18" s="24"/>
      <c r="K18" s="24" t="s">
        <v>45</v>
      </c>
      <c r="L18" s="34" t="s">
        <v>46</v>
      </c>
      <c r="M18" s="17" t="e" vm="1">
        <f ca="1">_xlfn.DISPIMG("ID_FFDE1BAD95C440ADB61A64257191C63A",1)</f>
        <v>#NAME?</v>
      </c>
    </row>
    <row r="19" spans="1:13" ht="28.5" x14ac:dyDescent="0.2">
      <c r="A19" s="16"/>
      <c r="B19" s="24"/>
      <c r="C19" s="16"/>
      <c r="D19" s="16"/>
      <c r="E19" s="16"/>
      <c r="F19" s="35"/>
      <c r="G19" s="24" t="s">
        <v>47</v>
      </c>
      <c r="H19" s="24"/>
      <c r="I19" s="24"/>
      <c r="J19" s="24"/>
      <c r="K19" s="24" t="s">
        <v>48</v>
      </c>
      <c r="L19" s="35"/>
      <c r="M19" s="25" t="s">
        <v>49</v>
      </c>
    </row>
    <row r="20" spans="1:13" ht="15" customHeight="1" x14ac:dyDescent="0.2">
      <c r="A20" s="16"/>
      <c r="B20" s="24"/>
      <c r="C20" s="16"/>
      <c r="D20" s="16"/>
      <c r="E20" s="16"/>
      <c r="F20" s="35"/>
      <c r="G20" s="24" t="s">
        <v>50</v>
      </c>
      <c r="H20" s="24"/>
      <c r="I20" s="24"/>
      <c r="J20" s="24"/>
      <c r="K20" s="24" t="s">
        <v>51</v>
      </c>
      <c r="L20" s="35"/>
    </row>
    <row r="21" spans="1:13" ht="15" customHeight="1" x14ac:dyDescent="0.2">
      <c r="A21" s="16"/>
      <c r="B21" s="24"/>
      <c r="C21" s="16"/>
      <c r="D21" s="16"/>
      <c r="E21" s="16"/>
      <c r="F21" s="35"/>
      <c r="G21" s="24" t="s">
        <v>52</v>
      </c>
      <c r="H21" s="24"/>
      <c r="I21" s="24"/>
      <c r="J21" s="24"/>
      <c r="K21" s="24" t="s">
        <v>53</v>
      </c>
      <c r="L21" s="35"/>
    </row>
    <row r="22" spans="1:13" x14ac:dyDescent="0.2">
      <c r="A22" s="16"/>
      <c r="B22" s="24"/>
      <c r="C22" s="16"/>
      <c r="D22" s="16"/>
      <c r="E22" s="16"/>
      <c r="F22" s="36"/>
      <c r="G22" s="24" t="s">
        <v>54</v>
      </c>
      <c r="H22" s="24"/>
      <c r="I22" s="24"/>
      <c r="J22" s="24"/>
      <c r="K22" s="24" t="s">
        <v>55</v>
      </c>
      <c r="L22" s="36"/>
    </row>
    <row r="23" spans="1:13" x14ac:dyDescent="0.2">
      <c r="A23" s="16"/>
      <c r="B23" s="24"/>
      <c r="C23" s="16"/>
      <c r="D23" s="16" t="s">
        <v>41</v>
      </c>
      <c r="E23" s="16"/>
      <c r="F23" s="34"/>
      <c r="G23" s="24"/>
      <c r="H23" s="24"/>
      <c r="I23" s="24"/>
      <c r="J23" s="24"/>
      <c r="K23" s="24"/>
      <c r="L23" s="24"/>
    </row>
    <row r="24" spans="1:13" x14ac:dyDescent="0.2">
      <c r="A24" s="16"/>
      <c r="B24" s="24"/>
      <c r="C24" s="16"/>
      <c r="D24" s="16"/>
      <c r="E24" s="16"/>
      <c r="F24" s="35"/>
      <c r="G24" s="24"/>
      <c r="H24" s="24"/>
      <c r="I24" s="24"/>
      <c r="J24" s="24"/>
      <c r="K24" s="24"/>
      <c r="L24" s="24"/>
    </row>
    <row r="25" spans="1:13" x14ac:dyDescent="0.2">
      <c r="A25" s="16"/>
      <c r="B25" s="24"/>
      <c r="C25" s="16"/>
      <c r="D25" s="16"/>
      <c r="E25" s="16"/>
      <c r="F25" s="35"/>
      <c r="G25" s="24"/>
      <c r="H25" s="24"/>
      <c r="I25" s="24"/>
      <c r="J25" s="24"/>
      <c r="K25" s="24"/>
      <c r="L25" s="24"/>
    </row>
    <row r="26" spans="1:13" x14ac:dyDescent="0.2">
      <c r="A26" s="16"/>
      <c r="B26" s="24"/>
      <c r="C26" s="16"/>
      <c r="D26" s="16"/>
      <c r="E26" s="16"/>
      <c r="F26" s="36"/>
      <c r="G26" s="24"/>
      <c r="H26" s="24"/>
      <c r="I26" s="24"/>
      <c r="J26" s="24"/>
      <c r="K26" s="24"/>
      <c r="L26" s="24"/>
    </row>
    <row r="27" spans="1:13" ht="57" x14ac:dyDescent="0.2">
      <c r="A27" s="16">
        <v>3</v>
      </c>
      <c r="B27" s="24" t="s">
        <v>56</v>
      </c>
      <c r="C27" s="16" t="s">
        <v>16</v>
      </c>
      <c r="D27" s="16" t="s">
        <v>57</v>
      </c>
      <c r="E27" s="16" t="s">
        <v>18</v>
      </c>
      <c r="F27" s="34"/>
      <c r="G27" s="24" t="s">
        <v>58</v>
      </c>
      <c r="H27" s="24"/>
      <c r="I27" s="24"/>
      <c r="J27" s="24"/>
      <c r="K27" s="24" t="s">
        <v>59</v>
      </c>
      <c r="L27" s="34" t="s">
        <v>60</v>
      </c>
      <c r="M27" s="25" t="s">
        <v>61</v>
      </c>
    </row>
    <row r="28" spans="1:13" x14ac:dyDescent="0.2">
      <c r="A28" s="16"/>
      <c r="B28" s="24"/>
      <c r="C28" s="16"/>
      <c r="D28" s="16"/>
      <c r="E28" s="16"/>
      <c r="F28" s="35"/>
      <c r="G28" s="24" t="s">
        <v>62</v>
      </c>
      <c r="H28" s="24"/>
      <c r="I28" s="24"/>
      <c r="J28" s="24"/>
      <c r="K28" s="24" t="s">
        <v>63</v>
      </c>
      <c r="L28" s="36"/>
      <c r="M28" s="17" t="e" vm="1">
        <f ca="1">_xlfn.DISPIMG("ID_74B87EA69AA9446188992AE37640F9BC",1)</f>
        <v>#NAME?</v>
      </c>
    </row>
    <row r="29" spans="1:13" x14ac:dyDescent="0.2">
      <c r="A29" s="16"/>
      <c r="B29" s="24"/>
      <c r="C29" s="16"/>
      <c r="D29" s="16"/>
      <c r="E29" s="16"/>
      <c r="F29" s="35"/>
      <c r="G29" s="24"/>
      <c r="H29" s="24"/>
      <c r="I29" s="24"/>
      <c r="J29" s="24"/>
      <c r="K29" s="24"/>
      <c r="L29" s="24"/>
    </row>
    <row r="30" spans="1:13" x14ac:dyDescent="0.2">
      <c r="A30" s="16"/>
      <c r="B30" s="24"/>
      <c r="C30" s="16"/>
      <c r="D30" s="16"/>
      <c r="E30" s="16"/>
      <c r="F30" s="36"/>
      <c r="G30" s="24"/>
      <c r="H30" s="24"/>
      <c r="I30" s="24"/>
      <c r="J30" s="24"/>
      <c r="K30" s="24"/>
      <c r="L30" s="24"/>
    </row>
    <row r="31" spans="1:13" x14ac:dyDescent="0.2">
      <c r="A31" s="16"/>
      <c r="B31" s="24"/>
      <c r="C31" s="16"/>
      <c r="D31" s="16" t="s">
        <v>41</v>
      </c>
      <c r="E31" s="16"/>
      <c r="F31" s="34"/>
      <c r="G31" s="24"/>
      <c r="H31" s="24"/>
      <c r="I31" s="24"/>
      <c r="J31" s="24"/>
      <c r="K31" s="24"/>
      <c r="L31" s="24"/>
    </row>
    <row r="32" spans="1:13" x14ac:dyDescent="0.2">
      <c r="A32" s="16"/>
      <c r="B32" s="24"/>
      <c r="C32" s="16"/>
      <c r="D32" s="16"/>
      <c r="E32" s="16"/>
      <c r="F32" s="35"/>
      <c r="G32" s="24"/>
      <c r="H32" s="24"/>
      <c r="I32" s="24"/>
      <c r="J32" s="24"/>
      <c r="K32" s="24"/>
      <c r="L32" s="24"/>
    </row>
    <row r="33" spans="1:12" x14ac:dyDescent="0.2">
      <c r="A33" s="16"/>
      <c r="B33" s="24"/>
      <c r="C33" s="16"/>
      <c r="D33" s="16"/>
      <c r="E33" s="16"/>
      <c r="F33" s="35"/>
      <c r="G33" s="24"/>
      <c r="H33" s="24"/>
      <c r="I33" s="24"/>
      <c r="J33" s="24"/>
      <c r="K33" s="24"/>
      <c r="L33" s="24"/>
    </row>
    <row r="34" spans="1:12" x14ac:dyDescent="0.2">
      <c r="A34" s="16"/>
      <c r="B34" s="24"/>
      <c r="C34" s="16"/>
      <c r="D34" s="16"/>
      <c r="E34" s="16"/>
      <c r="F34" s="36"/>
      <c r="G34" s="24"/>
      <c r="H34" s="24"/>
      <c r="I34" s="24"/>
      <c r="J34" s="24"/>
      <c r="K34" s="24"/>
      <c r="L34" s="24"/>
    </row>
    <row r="35" spans="1:12" x14ac:dyDescent="0.2">
      <c r="A35" s="16">
        <v>4</v>
      </c>
      <c r="B35" s="24" t="s">
        <v>64</v>
      </c>
      <c r="C35" s="16" t="s">
        <v>16</v>
      </c>
      <c r="D35" s="16" t="s">
        <v>65</v>
      </c>
      <c r="E35" s="33" t="s">
        <v>224</v>
      </c>
      <c r="F35" s="38"/>
      <c r="G35" s="24" t="s">
        <v>66</v>
      </c>
      <c r="H35" s="24"/>
      <c r="I35" s="24"/>
      <c r="J35" s="24"/>
      <c r="K35" s="24" t="s">
        <v>67</v>
      </c>
      <c r="L35" s="35"/>
    </row>
    <row r="36" spans="1:12" x14ac:dyDescent="0.2">
      <c r="A36" s="16"/>
      <c r="B36" s="24"/>
      <c r="C36" s="16"/>
      <c r="D36" s="16"/>
      <c r="E36" s="16"/>
      <c r="F36" s="35"/>
      <c r="G36" s="24" t="s">
        <v>68</v>
      </c>
      <c r="H36" s="24"/>
      <c r="I36" s="24"/>
      <c r="J36" s="24"/>
      <c r="K36" s="24" t="s">
        <v>69</v>
      </c>
      <c r="L36" s="35"/>
    </row>
    <row r="37" spans="1:12" x14ac:dyDescent="0.2">
      <c r="A37" s="16"/>
      <c r="B37" s="24"/>
      <c r="C37" s="16"/>
      <c r="D37" s="16"/>
      <c r="E37" s="16"/>
      <c r="F37" s="35"/>
      <c r="G37" s="24" t="s">
        <v>70</v>
      </c>
      <c r="H37" s="24"/>
      <c r="I37" s="24"/>
      <c r="J37" s="24"/>
      <c r="K37" s="24" t="s">
        <v>71</v>
      </c>
      <c r="L37" s="35"/>
    </row>
    <row r="38" spans="1:12" x14ac:dyDescent="0.2">
      <c r="A38" s="16"/>
      <c r="B38" s="24"/>
      <c r="C38" s="16"/>
      <c r="D38" s="16"/>
      <c r="E38" s="16"/>
      <c r="F38" s="36"/>
      <c r="G38" s="24" t="s">
        <v>72</v>
      </c>
      <c r="H38" s="24"/>
      <c r="I38" s="24"/>
      <c r="J38" s="24"/>
      <c r="K38" s="24" t="s">
        <v>73</v>
      </c>
      <c r="L38" s="36"/>
    </row>
    <row r="39" spans="1:12" x14ac:dyDescent="0.2">
      <c r="A39" s="16"/>
      <c r="B39" s="24"/>
      <c r="C39" s="16"/>
      <c r="D39" s="16" t="s">
        <v>41</v>
      </c>
      <c r="E39" s="16"/>
      <c r="F39" s="34"/>
      <c r="G39" s="24"/>
      <c r="H39" s="24"/>
      <c r="I39" s="24"/>
      <c r="J39" s="24"/>
      <c r="K39" s="24"/>
      <c r="L39" s="24"/>
    </row>
    <row r="40" spans="1:12" x14ac:dyDescent="0.2">
      <c r="A40" s="16"/>
      <c r="B40" s="24"/>
      <c r="C40" s="16"/>
      <c r="D40" s="16"/>
      <c r="E40" s="16"/>
      <c r="F40" s="35"/>
      <c r="G40" s="24"/>
      <c r="H40" s="24"/>
      <c r="I40" s="24"/>
      <c r="J40" s="24"/>
      <c r="K40" s="24"/>
      <c r="L40" s="24"/>
    </row>
    <row r="41" spans="1:12" x14ac:dyDescent="0.2">
      <c r="A41" s="16"/>
      <c r="B41" s="24"/>
      <c r="C41" s="16"/>
      <c r="D41" s="16"/>
      <c r="E41" s="16"/>
      <c r="F41" s="35"/>
      <c r="G41" s="24"/>
      <c r="H41" s="24"/>
      <c r="I41" s="24"/>
      <c r="J41" s="24"/>
      <c r="K41" s="24"/>
      <c r="L41" s="24"/>
    </row>
    <row r="42" spans="1:12" x14ac:dyDescent="0.2">
      <c r="A42" s="16"/>
      <c r="B42" s="24"/>
      <c r="C42" s="16"/>
      <c r="D42" s="16"/>
      <c r="E42" s="16"/>
      <c r="F42" s="36"/>
      <c r="G42" s="24"/>
      <c r="H42" s="24"/>
      <c r="I42" s="24"/>
      <c r="J42" s="24"/>
      <c r="K42" s="24"/>
      <c r="L42" s="24"/>
    </row>
    <row r="43" spans="1:12" x14ac:dyDescent="0.2">
      <c r="A43" s="16">
        <v>5</v>
      </c>
      <c r="B43" s="24" t="s">
        <v>74</v>
      </c>
      <c r="C43" s="16" t="s">
        <v>16</v>
      </c>
      <c r="D43" s="16" t="s">
        <v>75</v>
      </c>
      <c r="E43" s="16" t="s">
        <v>18</v>
      </c>
      <c r="F43" s="34" t="s">
        <v>76</v>
      </c>
      <c r="G43" s="24" t="s">
        <v>77</v>
      </c>
      <c r="H43" s="24"/>
      <c r="I43" s="24"/>
      <c r="J43" s="24"/>
      <c r="K43" s="24" t="s">
        <v>78</v>
      </c>
      <c r="L43" s="34" t="s">
        <v>79</v>
      </c>
    </row>
    <row r="44" spans="1:12" x14ac:dyDescent="0.2">
      <c r="A44" s="16"/>
      <c r="B44" s="24"/>
      <c r="C44" s="16"/>
      <c r="D44" s="16"/>
      <c r="E44" s="16"/>
      <c r="F44" s="35"/>
      <c r="G44" s="24" t="s">
        <v>80</v>
      </c>
      <c r="H44" s="24"/>
      <c r="I44" s="24"/>
      <c r="J44" s="24"/>
      <c r="K44" s="24" t="s">
        <v>81</v>
      </c>
      <c r="L44" s="35"/>
    </row>
    <row r="45" spans="1:12" x14ac:dyDescent="0.2">
      <c r="A45" s="16"/>
      <c r="B45" s="24"/>
      <c r="C45" s="16"/>
      <c r="D45" s="16"/>
      <c r="E45" s="16"/>
      <c r="F45" s="35"/>
      <c r="G45" s="24" t="s">
        <v>82</v>
      </c>
      <c r="H45" s="24"/>
      <c r="I45" s="24"/>
      <c r="J45" s="24"/>
      <c r="K45" s="24" t="s">
        <v>83</v>
      </c>
      <c r="L45" s="35"/>
    </row>
    <row r="46" spans="1:12" x14ac:dyDescent="0.2">
      <c r="A46" s="16"/>
      <c r="B46" s="24"/>
      <c r="C46" s="16"/>
      <c r="D46" s="16"/>
      <c r="E46" s="16"/>
      <c r="F46" s="35"/>
      <c r="G46" s="24" t="s">
        <v>84</v>
      </c>
      <c r="H46" s="24"/>
      <c r="I46" s="24"/>
      <c r="J46" s="24"/>
      <c r="K46" s="24" t="s">
        <v>85</v>
      </c>
      <c r="L46" s="35"/>
    </row>
    <row r="47" spans="1:12" x14ac:dyDescent="0.2">
      <c r="A47" s="16"/>
      <c r="B47" s="24"/>
      <c r="C47" s="16"/>
      <c r="D47" s="16"/>
      <c r="E47" s="16"/>
      <c r="F47" s="35"/>
      <c r="G47" s="24" t="s">
        <v>86</v>
      </c>
      <c r="H47" s="24"/>
      <c r="I47" s="24"/>
      <c r="J47" s="24"/>
      <c r="K47" s="24" t="s">
        <v>87</v>
      </c>
      <c r="L47" s="35"/>
    </row>
    <row r="48" spans="1:12" x14ac:dyDescent="0.2">
      <c r="A48" s="16"/>
      <c r="B48" s="24"/>
      <c r="C48" s="16"/>
      <c r="D48" s="16"/>
      <c r="E48" s="16"/>
      <c r="F48" s="35"/>
      <c r="G48" s="24" t="s">
        <v>88</v>
      </c>
      <c r="H48" s="24"/>
      <c r="I48" s="24"/>
      <c r="J48" s="24"/>
      <c r="K48" s="24" t="s">
        <v>89</v>
      </c>
      <c r="L48" s="36"/>
    </row>
    <row r="49" spans="1:12" x14ac:dyDescent="0.2">
      <c r="A49" s="16"/>
      <c r="B49" s="24"/>
      <c r="C49" s="16"/>
      <c r="D49" s="16" t="s">
        <v>41</v>
      </c>
      <c r="E49" s="16"/>
      <c r="F49" s="34"/>
      <c r="G49" s="24"/>
      <c r="H49" s="24"/>
      <c r="I49" s="24"/>
      <c r="J49" s="24"/>
      <c r="K49" s="24"/>
      <c r="L49" s="24"/>
    </row>
    <row r="50" spans="1:12" x14ac:dyDescent="0.2">
      <c r="A50" s="16"/>
      <c r="B50" s="24"/>
      <c r="C50" s="16"/>
      <c r="D50" s="16"/>
      <c r="E50" s="16"/>
      <c r="F50" s="35"/>
      <c r="G50" s="24"/>
      <c r="H50" s="24"/>
      <c r="I50" s="24"/>
      <c r="J50" s="24"/>
      <c r="K50" s="24"/>
      <c r="L50" s="24"/>
    </row>
    <row r="51" spans="1:12" x14ac:dyDescent="0.2">
      <c r="A51" s="16"/>
      <c r="B51" s="24"/>
      <c r="C51" s="16"/>
      <c r="D51" s="16"/>
      <c r="E51" s="16"/>
      <c r="F51" s="35"/>
      <c r="G51" s="24"/>
      <c r="H51" s="24"/>
      <c r="I51" s="24"/>
      <c r="J51" s="24"/>
      <c r="K51" s="24"/>
      <c r="L51" s="24"/>
    </row>
    <row r="52" spans="1:12" x14ac:dyDescent="0.2">
      <c r="A52" s="16"/>
      <c r="B52" s="24"/>
      <c r="C52" s="16"/>
      <c r="D52" s="16"/>
      <c r="E52" s="16"/>
      <c r="F52" s="36"/>
      <c r="G52" s="24"/>
      <c r="H52" s="24"/>
      <c r="I52" s="24"/>
      <c r="J52" s="24"/>
      <c r="K52" s="24"/>
      <c r="L52" s="24"/>
    </row>
  </sheetData>
  <mergeCells count="20">
    <mergeCell ref="A1:K1"/>
    <mergeCell ref="F5:F8"/>
    <mergeCell ref="F9:F11"/>
    <mergeCell ref="F12:F14"/>
    <mergeCell ref="F15:F17"/>
    <mergeCell ref="F39:F42"/>
    <mergeCell ref="F43:F48"/>
    <mergeCell ref="F49:F52"/>
    <mergeCell ref="L5:L6"/>
    <mergeCell ref="L7:L8"/>
    <mergeCell ref="L9:L10"/>
    <mergeCell ref="L18:L22"/>
    <mergeCell ref="L27:L28"/>
    <mergeCell ref="L35:L38"/>
    <mergeCell ref="L43:L48"/>
    <mergeCell ref="F18:F22"/>
    <mergeCell ref="F23:F26"/>
    <mergeCell ref="F27:F30"/>
    <mergeCell ref="F31:F34"/>
    <mergeCell ref="F35:F38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opLeftCell="B1" workbookViewId="0">
      <selection activeCell="J22" sqref="J22"/>
    </sheetView>
  </sheetViews>
  <sheetFormatPr defaultColWidth="9" defaultRowHeight="14.25" x14ac:dyDescent="0.2"/>
  <cols>
    <col min="1" max="1" width="8.625" style="13"/>
    <col min="2" max="2" width="22" customWidth="1"/>
    <col min="3" max="3" width="14.25" customWidth="1"/>
    <col min="4" max="4" width="14.5" customWidth="1"/>
    <col min="5" max="5" width="13.75" customWidth="1"/>
    <col min="6" max="6" width="15.75" customWidth="1"/>
    <col min="7" max="7" width="11.75" customWidth="1"/>
    <col min="8" max="8" width="23" customWidth="1"/>
    <col min="9" max="9" width="23.5" customWidth="1"/>
    <col min="10" max="10" width="59.375" customWidth="1"/>
  </cols>
  <sheetData>
    <row r="1" spans="1:10" x14ac:dyDescent="0.2">
      <c r="A1" s="43" t="s">
        <v>90</v>
      </c>
      <c r="B1" s="43"/>
      <c r="C1" s="43"/>
      <c r="D1" s="43"/>
      <c r="E1" s="43"/>
      <c r="F1" s="43"/>
      <c r="G1" s="43"/>
      <c r="H1" s="43"/>
      <c r="I1" s="43"/>
    </row>
    <row r="3" spans="1:10" x14ac:dyDescent="0.2">
      <c r="A3" s="14" t="s">
        <v>91</v>
      </c>
      <c r="B3" s="2" t="s">
        <v>92</v>
      </c>
      <c r="C3" s="2" t="s">
        <v>93</v>
      </c>
      <c r="D3" s="2" t="s">
        <v>94</v>
      </c>
      <c r="E3" s="2" t="s">
        <v>7</v>
      </c>
      <c r="F3" s="2" t="s">
        <v>95</v>
      </c>
      <c r="G3" s="2" t="s">
        <v>96</v>
      </c>
      <c r="H3" s="2" t="s">
        <v>97</v>
      </c>
      <c r="I3" s="2" t="s">
        <v>98</v>
      </c>
      <c r="J3" s="15" t="s">
        <v>13</v>
      </c>
    </row>
    <row r="4" spans="1:10" x14ac:dyDescent="0.2">
      <c r="A4" s="3">
        <v>1</v>
      </c>
      <c r="B4" s="4" t="s">
        <v>99</v>
      </c>
      <c r="C4" s="4" t="s">
        <v>100</v>
      </c>
      <c r="D4" s="4" t="s">
        <v>101</v>
      </c>
      <c r="E4" s="4" t="s">
        <v>102</v>
      </c>
      <c r="F4" s="4" t="s">
        <v>103</v>
      </c>
      <c r="G4" s="4" t="s">
        <v>104</v>
      </c>
      <c r="H4" s="4" t="s">
        <v>105</v>
      </c>
      <c r="I4" s="4" t="s">
        <v>106</v>
      </c>
      <c r="J4" s="4" t="s">
        <v>107</v>
      </c>
    </row>
    <row r="5" spans="1:10" x14ac:dyDescent="0.2">
      <c r="A5" s="3">
        <v>2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">
      <c r="A6" s="3">
        <v>3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">
      <c r="A7" s="3">
        <v>4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2">
      <c r="A8" s="3">
        <v>5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">
      <c r="A9" s="3">
        <v>6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3">
        <v>7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>
        <v>8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">
      <c r="A12" s="3">
        <v>9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">
      <c r="A13" s="3">
        <v>10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3">
        <v>11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">
      <c r="A15" s="3">
        <v>12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">
      <c r="A16" s="3">
        <v>13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">
      <c r="A17" s="3">
        <v>14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">
      <c r="A18" s="3">
        <v>15</v>
      </c>
      <c r="B18" s="4"/>
      <c r="C18" s="4"/>
      <c r="D18" s="4"/>
      <c r="E18" s="4"/>
      <c r="F18" s="4"/>
      <c r="G18" s="4"/>
      <c r="H18" s="4"/>
      <c r="I18" s="4"/>
      <c r="J18" s="4"/>
    </row>
  </sheetData>
  <mergeCells count="1">
    <mergeCell ref="A1:I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I11" sqref="I11"/>
    </sheetView>
  </sheetViews>
  <sheetFormatPr defaultColWidth="9" defaultRowHeight="14.25" x14ac:dyDescent="0.2"/>
  <cols>
    <col min="1" max="1" width="8.625" style="13"/>
    <col min="2" max="3" width="22.625" customWidth="1"/>
    <col min="4" max="4" width="13.25" customWidth="1"/>
    <col min="5" max="5" width="22.625" customWidth="1"/>
    <col min="6" max="6" width="13.375" customWidth="1"/>
  </cols>
  <sheetData>
    <row r="1" spans="1:6" ht="18" x14ac:dyDescent="0.25">
      <c r="A1" s="44" t="s">
        <v>108</v>
      </c>
      <c r="B1" s="44"/>
      <c r="C1" s="44"/>
      <c r="D1" s="44"/>
      <c r="E1" s="44"/>
      <c r="F1" s="44"/>
    </row>
    <row r="3" spans="1:6" x14ac:dyDescent="0.2">
      <c r="A3" s="14" t="s">
        <v>2</v>
      </c>
      <c r="B3" s="2" t="s">
        <v>109</v>
      </c>
      <c r="C3" s="2" t="s">
        <v>110</v>
      </c>
      <c r="D3" s="2" t="s">
        <v>6</v>
      </c>
      <c r="E3" s="2" t="s">
        <v>111</v>
      </c>
      <c r="F3" s="2" t="s">
        <v>112</v>
      </c>
    </row>
    <row r="4" spans="1:6" x14ac:dyDescent="0.2">
      <c r="A4" s="3">
        <v>1</v>
      </c>
      <c r="B4" s="4" t="s">
        <v>113</v>
      </c>
      <c r="C4" s="4" t="s">
        <v>114</v>
      </c>
      <c r="D4" s="4" t="s">
        <v>115</v>
      </c>
      <c r="E4" s="4"/>
      <c r="F4" s="4"/>
    </row>
    <row r="5" spans="1:6" x14ac:dyDescent="0.2">
      <c r="A5" s="3">
        <v>2</v>
      </c>
      <c r="B5" s="4" t="s">
        <v>116</v>
      </c>
      <c r="C5" s="4" t="s">
        <v>114</v>
      </c>
      <c r="D5" s="4" t="s">
        <v>115</v>
      </c>
      <c r="E5" s="4"/>
      <c r="F5" s="4"/>
    </row>
    <row r="6" spans="1:6" x14ac:dyDescent="0.2">
      <c r="A6" s="3">
        <v>3</v>
      </c>
      <c r="B6" s="4" t="s">
        <v>117</v>
      </c>
      <c r="C6" s="4" t="s">
        <v>118</v>
      </c>
      <c r="D6" s="4"/>
      <c r="E6" s="4"/>
      <c r="F6" s="4"/>
    </row>
    <row r="7" spans="1:6" x14ac:dyDescent="0.2">
      <c r="A7" s="3">
        <v>4</v>
      </c>
      <c r="B7" s="4" t="s">
        <v>119</v>
      </c>
      <c r="C7" s="4" t="s">
        <v>118</v>
      </c>
      <c r="D7" s="4"/>
      <c r="E7" s="4"/>
      <c r="F7" s="4"/>
    </row>
    <row r="8" spans="1:6" x14ac:dyDescent="0.2">
      <c r="A8" s="3">
        <v>5</v>
      </c>
      <c r="B8" s="4" t="s">
        <v>120</v>
      </c>
      <c r="C8" s="4" t="s">
        <v>118</v>
      </c>
      <c r="D8" s="4"/>
      <c r="E8" s="4"/>
      <c r="F8" s="4"/>
    </row>
    <row r="9" spans="1:6" x14ac:dyDescent="0.2">
      <c r="A9" s="3">
        <v>6</v>
      </c>
      <c r="B9" s="4" t="s">
        <v>121</v>
      </c>
      <c r="C9" s="4" t="s">
        <v>118</v>
      </c>
      <c r="D9" s="4"/>
      <c r="E9" s="4"/>
      <c r="F9" s="4"/>
    </row>
  </sheetData>
  <mergeCells count="1">
    <mergeCell ref="A1:F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activeCell="D43" sqref="D43"/>
    </sheetView>
  </sheetViews>
  <sheetFormatPr defaultColWidth="9" defaultRowHeight="14.25" x14ac:dyDescent="0.2"/>
  <cols>
    <col min="2" max="2" width="17.875" customWidth="1"/>
    <col min="3" max="3" width="23.25" customWidth="1"/>
    <col min="4" max="4" width="30.625" customWidth="1"/>
  </cols>
  <sheetData>
    <row r="1" spans="1:4" x14ac:dyDescent="0.2">
      <c r="A1" s="43" t="s">
        <v>122</v>
      </c>
      <c r="B1" s="43"/>
      <c r="C1" s="43"/>
      <c r="D1" s="43"/>
    </row>
    <row r="3" spans="1:4" x14ac:dyDescent="0.2">
      <c r="A3" s="12" t="s">
        <v>2</v>
      </c>
      <c r="B3" s="12" t="s">
        <v>123</v>
      </c>
      <c r="C3" s="12" t="s">
        <v>124</v>
      </c>
      <c r="D3" s="12" t="s">
        <v>125</v>
      </c>
    </row>
    <row r="4" spans="1:4" x14ac:dyDescent="0.2">
      <c r="A4" s="4"/>
      <c r="B4" s="4"/>
      <c r="C4" s="4"/>
      <c r="D4" s="4"/>
    </row>
    <row r="5" spans="1:4" x14ac:dyDescent="0.2">
      <c r="A5" s="4"/>
      <c r="B5" s="4"/>
      <c r="C5" s="4"/>
      <c r="D5" s="4"/>
    </row>
    <row r="6" spans="1:4" x14ac:dyDescent="0.2">
      <c r="A6" s="4"/>
      <c r="B6" s="4"/>
      <c r="C6" s="4"/>
      <c r="D6" s="4"/>
    </row>
    <row r="7" spans="1:4" x14ac:dyDescent="0.2">
      <c r="A7" s="4"/>
      <c r="B7" s="4"/>
      <c r="C7" s="4"/>
      <c r="D7" s="4"/>
    </row>
    <row r="8" spans="1:4" x14ac:dyDescent="0.2">
      <c r="A8" s="4"/>
      <c r="B8" s="4"/>
      <c r="C8" s="4"/>
      <c r="D8" s="4"/>
    </row>
    <row r="9" spans="1:4" x14ac:dyDescent="0.2">
      <c r="A9" s="4"/>
      <c r="B9" s="4"/>
      <c r="C9" s="4"/>
      <c r="D9" s="4"/>
    </row>
    <row r="10" spans="1:4" x14ac:dyDescent="0.2">
      <c r="A10" s="4"/>
      <c r="B10" s="4"/>
      <c r="C10" s="4"/>
      <c r="D10" s="4"/>
    </row>
    <row r="11" spans="1:4" x14ac:dyDescent="0.2">
      <c r="A11" s="4"/>
      <c r="B11" s="4"/>
      <c r="C11" s="4"/>
      <c r="D11" s="4"/>
    </row>
    <row r="12" spans="1:4" x14ac:dyDescent="0.2">
      <c r="A12" s="4"/>
      <c r="B12" s="4"/>
      <c r="C12" s="4"/>
      <c r="D12" s="4"/>
    </row>
    <row r="13" spans="1:4" x14ac:dyDescent="0.2">
      <c r="A13" s="4"/>
      <c r="B13" s="4"/>
      <c r="C13" s="4"/>
      <c r="D13" s="4"/>
    </row>
    <row r="14" spans="1:4" x14ac:dyDescent="0.2">
      <c r="A14" s="4"/>
      <c r="B14" s="4"/>
      <c r="C14" s="4"/>
      <c r="D14" s="4"/>
    </row>
    <row r="15" spans="1:4" x14ac:dyDescent="0.2">
      <c r="A15" s="4"/>
      <c r="B15" s="4"/>
      <c r="C15" s="4"/>
      <c r="D15" s="4"/>
    </row>
    <row r="16" spans="1:4" x14ac:dyDescent="0.2">
      <c r="A16" s="4"/>
      <c r="B16" s="4"/>
      <c r="C16" s="4"/>
      <c r="D16" s="4"/>
    </row>
    <row r="17" spans="1:4" x14ac:dyDescent="0.2">
      <c r="A17" s="4"/>
      <c r="B17" s="4"/>
      <c r="C17" s="4"/>
      <c r="D17" s="4"/>
    </row>
    <row r="18" spans="1:4" x14ac:dyDescent="0.2">
      <c r="A18" s="4"/>
      <c r="B18" s="4"/>
      <c r="C18" s="4"/>
      <c r="D18" s="4"/>
    </row>
  </sheetData>
  <mergeCells count="1">
    <mergeCell ref="A1:D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>
      <selection activeCell="F27" sqref="F27"/>
    </sheetView>
  </sheetViews>
  <sheetFormatPr defaultColWidth="9" defaultRowHeight="14.25" x14ac:dyDescent="0.2"/>
  <cols>
    <col min="2" max="2" width="14.75" customWidth="1"/>
    <col min="3" max="3" width="14.125" customWidth="1"/>
  </cols>
  <sheetData>
    <row r="1" spans="1:3" x14ac:dyDescent="0.2">
      <c r="A1" s="43" t="s">
        <v>126</v>
      </c>
      <c r="B1" s="43"/>
      <c r="C1" s="43"/>
    </row>
    <row r="3" spans="1:3" x14ac:dyDescent="0.2">
      <c r="A3" s="12" t="s">
        <v>2</v>
      </c>
      <c r="B3" s="12" t="s">
        <v>127</v>
      </c>
      <c r="C3" s="12" t="s">
        <v>128</v>
      </c>
    </row>
    <row r="4" spans="1:3" x14ac:dyDescent="0.2">
      <c r="A4" s="4"/>
      <c r="B4" s="4"/>
      <c r="C4" s="4"/>
    </row>
    <row r="5" spans="1:3" x14ac:dyDescent="0.2">
      <c r="A5" s="4"/>
      <c r="B5" s="4"/>
      <c r="C5" s="4"/>
    </row>
    <row r="6" spans="1:3" x14ac:dyDescent="0.2">
      <c r="A6" s="4"/>
      <c r="B6" s="4"/>
      <c r="C6" s="4"/>
    </row>
    <row r="7" spans="1:3" x14ac:dyDescent="0.2">
      <c r="A7" s="4"/>
      <c r="B7" s="4"/>
      <c r="C7" s="4"/>
    </row>
    <row r="8" spans="1:3" x14ac:dyDescent="0.2">
      <c r="A8" s="4"/>
      <c r="B8" s="4"/>
      <c r="C8" s="4"/>
    </row>
    <row r="9" spans="1:3" x14ac:dyDescent="0.2">
      <c r="A9" s="4"/>
      <c r="B9" s="4"/>
      <c r="C9" s="4"/>
    </row>
    <row r="10" spans="1:3" x14ac:dyDescent="0.2">
      <c r="A10" s="4"/>
      <c r="B10" s="4"/>
      <c r="C10" s="4"/>
    </row>
    <row r="11" spans="1:3" x14ac:dyDescent="0.2">
      <c r="A11" s="4"/>
      <c r="B11" s="4"/>
      <c r="C11" s="4"/>
    </row>
    <row r="12" spans="1:3" x14ac:dyDescent="0.2">
      <c r="A12" s="4"/>
      <c r="B12" s="4"/>
      <c r="C12" s="4"/>
    </row>
    <row r="13" spans="1:3" x14ac:dyDescent="0.2">
      <c r="A13" s="4"/>
      <c r="B13" s="4"/>
      <c r="C13" s="4"/>
    </row>
    <row r="14" spans="1:3" x14ac:dyDescent="0.2">
      <c r="A14" s="4"/>
      <c r="B14" s="4"/>
      <c r="C14" s="4"/>
    </row>
    <row r="15" spans="1:3" x14ac:dyDescent="0.2">
      <c r="A15" s="4"/>
      <c r="B15" s="4"/>
      <c r="C15" s="4"/>
    </row>
    <row r="16" spans="1:3" x14ac:dyDescent="0.2">
      <c r="A16" s="4"/>
      <c r="B16" s="4"/>
      <c r="C16" s="4"/>
    </row>
    <row r="17" spans="1:3" x14ac:dyDescent="0.2">
      <c r="A17" s="4"/>
      <c r="B17" s="4"/>
      <c r="C17" s="4"/>
    </row>
    <row r="18" spans="1:3" x14ac:dyDescent="0.2">
      <c r="A18" s="4"/>
      <c r="B18" s="4"/>
      <c r="C18" s="4"/>
    </row>
  </sheetData>
  <mergeCells count="1">
    <mergeCell ref="A1:C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tabSelected="1" workbookViewId="0">
      <selection activeCell="B23" sqref="B23"/>
    </sheetView>
  </sheetViews>
  <sheetFormatPr defaultColWidth="9" defaultRowHeight="14.25" x14ac:dyDescent="0.2"/>
  <cols>
    <col min="1" max="1" width="9.75" customWidth="1"/>
    <col min="2" max="2" width="19.125" customWidth="1"/>
    <col min="3" max="3" width="19.625" customWidth="1"/>
    <col min="4" max="4" width="39.625" customWidth="1"/>
    <col min="5" max="5" width="69.875" customWidth="1"/>
    <col min="6" max="6" width="14.5" customWidth="1"/>
  </cols>
  <sheetData>
    <row r="1" spans="1:6" x14ac:dyDescent="0.2">
      <c r="A1" s="43" t="s">
        <v>129</v>
      </c>
      <c r="B1" s="43"/>
      <c r="C1" s="43"/>
      <c r="D1" s="43"/>
      <c r="E1" s="43"/>
      <c r="F1" s="43"/>
    </row>
    <row r="3" spans="1:6" ht="15.75" x14ac:dyDescent="0.2">
      <c r="A3" s="27" t="s">
        <v>130</v>
      </c>
      <c r="B3" s="28" t="s">
        <v>131</v>
      </c>
      <c r="C3" s="27" t="s">
        <v>132</v>
      </c>
      <c r="D3" s="29" t="s">
        <v>133</v>
      </c>
      <c r="E3" s="29" t="s">
        <v>134</v>
      </c>
      <c r="F3" s="29" t="s">
        <v>135</v>
      </c>
    </row>
    <row r="4" spans="1:6" x14ac:dyDescent="0.2">
      <c r="A4" s="5">
        <v>1</v>
      </c>
      <c r="B4" s="6" t="s">
        <v>211</v>
      </c>
      <c r="C4" s="7">
        <v>2023.01</v>
      </c>
      <c r="D4" s="8" t="s">
        <v>212</v>
      </c>
      <c r="E4" t="s">
        <v>213</v>
      </c>
      <c r="F4" s="8" t="s">
        <v>214</v>
      </c>
    </row>
    <row r="5" spans="1:6" x14ac:dyDescent="0.2">
      <c r="A5" s="6">
        <v>2</v>
      </c>
      <c r="B5" s="6" t="s">
        <v>215</v>
      </c>
      <c r="C5" s="7" t="s">
        <v>216</v>
      </c>
      <c r="D5" s="8" t="s">
        <v>217</v>
      </c>
      <c r="E5" t="s">
        <v>218</v>
      </c>
      <c r="F5" s="8" t="s">
        <v>137</v>
      </c>
    </row>
    <row r="6" spans="1:6" x14ac:dyDescent="0.2">
      <c r="A6" s="5">
        <v>3</v>
      </c>
      <c r="B6" s="6" t="s">
        <v>219</v>
      </c>
      <c r="C6" s="7" t="s">
        <v>222</v>
      </c>
      <c r="D6" s="8" t="s">
        <v>220</v>
      </c>
      <c r="E6" t="s">
        <v>136</v>
      </c>
      <c r="F6" s="8" t="s">
        <v>137</v>
      </c>
    </row>
    <row r="7" spans="1:6" x14ac:dyDescent="0.2">
      <c r="A7" s="6">
        <v>4</v>
      </c>
      <c r="B7" s="30" t="s">
        <v>158</v>
      </c>
      <c r="C7" s="9" t="s">
        <v>159</v>
      </c>
      <c r="D7" s="10" t="s">
        <v>160</v>
      </c>
      <c r="E7" t="s">
        <v>161</v>
      </c>
      <c r="F7" s="8" t="s">
        <v>137</v>
      </c>
    </row>
    <row r="8" spans="1:6" x14ac:dyDescent="0.2">
      <c r="A8" s="5">
        <v>5</v>
      </c>
      <c r="B8" s="30" t="s">
        <v>162</v>
      </c>
      <c r="C8" s="9" t="s">
        <v>221</v>
      </c>
      <c r="D8" s="10" t="s">
        <v>163</v>
      </c>
      <c r="E8" t="s">
        <v>164</v>
      </c>
      <c r="F8" s="10" t="s">
        <v>165</v>
      </c>
    </row>
    <row r="9" spans="1:6" x14ac:dyDescent="0.2">
      <c r="A9" s="6">
        <v>6</v>
      </c>
      <c r="B9" s="6" t="s">
        <v>166</v>
      </c>
      <c r="C9" s="9" t="s">
        <v>191</v>
      </c>
      <c r="D9" s="10" t="s">
        <v>167</v>
      </c>
      <c r="E9" t="s">
        <v>168</v>
      </c>
      <c r="F9" s="10" t="s">
        <v>169</v>
      </c>
    </row>
    <row r="10" spans="1:6" x14ac:dyDescent="0.2">
      <c r="A10" s="5">
        <v>7</v>
      </c>
      <c r="B10" s="30" t="s">
        <v>170</v>
      </c>
      <c r="C10" s="17" t="s">
        <v>171</v>
      </c>
      <c r="D10" s="31" t="s">
        <v>172</v>
      </c>
      <c r="E10" t="s">
        <v>173</v>
      </c>
      <c r="F10" s="10" t="s">
        <v>174</v>
      </c>
    </row>
    <row r="11" spans="1:6" x14ac:dyDescent="0.2">
      <c r="A11" s="6">
        <v>8</v>
      </c>
      <c r="B11" s="6" t="s">
        <v>175</v>
      </c>
      <c r="C11" s="9" t="s">
        <v>176</v>
      </c>
      <c r="D11" s="10" t="s">
        <v>177</v>
      </c>
      <c r="E11" t="s">
        <v>178</v>
      </c>
      <c r="F11" s="10" t="s">
        <v>137</v>
      </c>
    </row>
    <row r="12" spans="1:6" x14ac:dyDescent="0.2">
      <c r="A12" s="5">
        <v>9</v>
      </c>
      <c r="B12" s="6" t="s">
        <v>179</v>
      </c>
      <c r="C12" s="11" t="s">
        <v>192</v>
      </c>
      <c r="D12" s="10" t="s">
        <v>180</v>
      </c>
      <c r="E12" t="s">
        <v>181</v>
      </c>
      <c r="F12" s="10" t="s">
        <v>182</v>
      </c>
    </row>
    <row r="13" spans="1:6" x14ac:dyDescent="0.2">
      <c r="A13" s="6">
        <v>10</v>
      </c>
      <c r="B13" s="6" t="s">
        <v>183</v>
      </c>
      <c r="C13" s="9" t="s">
        <v>184</v>
      </c>
      <c r="D13" s="10" t="s">
        <v>185</v>
      </c>
      <c r="E13" t="s">
        <v>186</v>
      </c>
      <c r="F13" s="10" t="s">
        <v>187</v>
      </c>
    </row>
    <row r="14" spans="1:6" x14ac:dyDescent="0.2">
      <c r="A14" s="5">
        <v>11</v>
      </c>
      <c r="B14" s="6" t="s">
        <v>193</v>
      </c>
      <c r="C14" s="11" t="s">
        <v>194</v>
      </c>
      <c r="D14" s="10" t="s">
        <v>188</v>
      </c>
      <c r="E14" t="s">
        <v>189</v>
      </c>
      <c r="F14" s="10" t="s">
        <v>190</v>
      </c>
    </row>
    <row r="15" spans="1:6" x14ac:dyDescent="0.2">
      <c r="A15" s="6">
        <v>12</v>
      </c>
      <c r="B15" s="6" t="s">
        <v>195</v>
      </c>
      <c r="C15" s="9" t="s">
        <v>196</v>
      </c>
      <c r="D15" s="10" t="s">
        <v>197</v>
      </c>
      <c r="E15" t="s">
        <v>198</v>
      </c>
      <c r="F15" s="10" t="s">
        <v>169</v>
      </c>
    </row>
    <row r="16" spans="1:6" x14ac:dyDescent="0.2">
      <c r="A16" s="5">
        <v>13</v>
      </c>
      <c r="B16" s="6" t="s">
        <v>199</v>
      </c>
      <c r="C16" s="9" t="s">
        <v>200</v>
      </c>
      <c r="D16" s="10" t="s">
        <v>201</v>
      </c>
      <c r="E16" t="s">
        <v>202</v>
      </c>
      <c r="F16" s="10" t="s">
        <v>203</v>
      </c>
    </row>
    <row r="17" spans="1:6" x14ac:dyDescent="0.2">
      <c r="A17" s="6">
        <v>14</v>
      </c>
      <c r="B17" s="6" t="s">
        <v>204</v>
      </c>
      <c r="C17" s="9">
        <v>2025.89</v>
      </c>
      <c r="D17" s="10" t="s">
        <v>205</v>
      </c>
      <c r="E17" t="s">
        <v>206</v>
      </c>
      <c r="F17" s="10" t="s">
        <v>169</v>
      </c>
    </row>
    <row r="18" spans="1:6" x14ac:dyDescent="0.2">
      <c r="A18" s="5">
        <v>15</v>
      </c>
      <c r="B18" s="6" t="s">
        <v>207</v>
      </c>
      <c r="C18" s="11" t="s">
        <v>208</v>
      </c>
      <c r="D18" s="10" t="s">
        <v>209</v>
      </c>
      <c r="E18" t="s">
        <v>210</v>
      </c>
      <c r="F18" s="8" t="s">
        <v>137</v>
      </c>
    </row>
  </sheetData>
  <mergeCells count="1">
    <mergeCell ref="A1:F1"/>
  </mergeCells>
  <phoneticPr fontId="7" type="noConversion"/>
  <hyperlinks>
    <hyperlink ref="E15" r:id="rId1" xr:uid="{7951D62B-19EC-49AB-9083-9923BEC9C791}"/>
    <hyperlink ref="E16" r:id="rId2" xr:uid="{C7C16EC4-D0D7-401E-83A2-19A128560033}"/>
    <hyperlink ref="E17" r:id="rId3" xr:uid="{6FA4BAD9-A9F0-4D7F-AECC-C5BA7E801F8C}"/>
    <hyperlink ref="E18" r:id="rId4" xr:uid="{5F440F62-F5D3-4219-9B23-D55660BA8D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E31" sqref="E31"/>
    </sheetView>
  </sheetViews>
  <sheetFormatPr defaultColWidth="9" defaultRowHeight="14.25" x14ac:dyDescent="0.2"/>
  <cols>
    <col min="2" max="2" width="24.25" customWidth="1"/>
    <col min="3" max="4" width="32.375" customWidth="1"/>
    <col min="5" max="5" width="55.5" customWidth="1"/>
  </cols>
  <sheetData>
    <row r="1" spans="1:5" x14ac:dyDescent="0.2">
      <c r="A1" s="43" t="s">
        <v>138</v>
      </c>
      <c r="B1" s="43"/>
      <c r="C1" s="43"/>
      <c r="D1" s="43"/>
      <c r="E1" s="43"/>
    </row>
    <row r="3" spans="1:5" x14ac:dyDescent="0.2">
      <c r="A3" s="1" t="s">
        <v>2</v>
      </c>
      <c r="B3" s="2" t="s">
        <v>139</v>
      </c>
      <c r="C3" s="2" t="s">
        <v>140</v>
      </c>
      <c r="D3" s="2" t="s">
        <v>6</v>
      </c>
      <c r="E3" s="2" t="s">
        <v>141</v>
      </c>
    </row>
    <row r="4" spans="1:5" x14ac:dyDescent="0.2">
      <c r="A4" s="3">
        <v>1</v>
      </c>
      <c r="B4" s="4" t="s">
        <v>142</v>
      </c>
      <c r="C4" s="4" t="s">
        <v>118</v>
      </c>
      <c r="D4" s="4"/>
      <c r="E4" s="4" t="s">
        <v>143</v>
      </c>
    </row>
    <row r="5" spans="1:5" x14ac:dyDescent="0.2">
      <c r="A5" s="3">
        <v>2</v>
      </c>
      <c r="B5" s="4" t="s">
        <v>144</v>
      </c>
      <c r="C5" s="4" t="s">
        <v>118</v>
      </c>
      <c r="D5" s="4"/>
      <c r="E5" s="4" t="s">
        <v>145</v>
      </c>
    </row>
    <row r="6" spans="1:5" x14ac:dyDescent="0.2">
      <c r="A6" s="3">
        <v>3</v>
      </c>
      <c r="B6" s="4" t="s">
        <v>146</v>
      </c>
      <c r="C6" s="4" t="s">
        <v>147</v>
      </c>
      <c r="D6" s="4"/>
      <c r="E6" s="4"/>
    </row>
    <row r="7" spans="1:5" x14ac:dyDescent="0.2">
      <c r="A7" s="3">
        <v>4</v>
      </c>
      <c r="B7" s="4" t="s">
        <v>148</v>
      </c>
      <c r="C7" s="4" t="s">
        <v>147</v>
      </c>
      <c r="D7" s="4"/>
      <c r="E7" s="4"/>
    </row>
    <row r="8" spans="1:5" x14ac:dyDescent="0.2">
      <c r="A8" s="3">
        <v>5</v>
      </c>
      <c r="B8" s="4" t="s">
        <v>149</v>
      </c>
      <c r="C8" s="4" t="s">
        <v>147</v>
      </c>
      <c r="D8" s="4"/>
      <c r="E8" s="4"/>
    </row>
    <row r="9" spans="1:5" x14ac:dyDescent="0.2">
      <c r="A9" s="3">
        <v>6</v>
      </c>
      <c r="B9" s="4" t="s">
        <v>150</v>
      </c>
      <c r="C9" s="4" t="s">
        <v>147</v>
      </c>
      <c r="D9" s="4"/>
      <c r="E9" s="4"/>
    </row>
    <row r="10" spans="1:5" x14ac:dyDescent="0.2">
      <c r="A10" s="3">
        <v>7</v>
      </c>
      <c r="B10" s="4" t="s">
        <v>151</v>
      </c>
      <c r="C10" s="4" t="s">
        <v>147</v>
      </c>
      <c r="D10" s="4"/>
      <c r="E10" s="4"/>
    </row>
    <row r="11" spans="1:5" x14ac:dyDescent="0.2">
      <c r="A11" s="3">
        <v>8</v>
      </c>
      <c r="B11" s="4" t="s">
        <v>152</v>
      </c>
      <c r="C11" s="4" t="s">
        <v>118</v>
      </c>
      <c r="D11" s="4"/>
      <c r="E11" s="4" t="s">
        <v>153</v>
      </c>
    </row>
    <row r="12" spans="1:5" x14ac:dyDescent="0.2">
      <c r="A12" s="3">
        <v>9</v>
      </c>
      <c r="B12" s="4" t="s">
        <v>154</v>
      </c>
      <c r="C12" s="4" t="s">
        <v>118</v>
      </c>
      <c r="D12" s="4"/>
      <c r="E12" s="4" t="s">
        <v>155</v>
      </c>
    </row>
    <row r="13" spans="1:5" x14ac:dyDescent="0.2">
      <c r="A13" s="3">
        <v>10</v>
      </c>
      <c r="B13" s="4" t="s">
        <v>156</v>
      </c>
      <c r="C13" s="4" t="s">
        <v>118</v>
      </c>
      <c r="D13" s="4"/>
      <c r="E13" s="4" t="s">
        <v>157</v>
      </c>
    </row>
  </sheetData>
  <mergeCells count="1">
    <mergeCell ref="A1:E1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4" ma:contentTypeDescription="Create a new document." ma:contentTypeScope="" ma:versionID="03218e792bdbd4574415d9796de457cd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113e9910ec6f299d3171f32d2f160b85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Props1.xml><?xml version="1.0" encoding="utf-8"?>
<ds:datastoreItem xmlns:ds="http://schemas.openxmlformats.org/officeDocument/2006/customXml" ds:itemID="{9E18029D-4FE6-472E-8ADE-E1F051C51E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296c3-7541-4442-bcb1-79403d3af2c6"/>
    <ds:schemaRef ds:uri="bc3a7c7f-f5d4-4b17-bf27-74c6d6a9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831792-1FB1-476A-89CA-509ECDFBA4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A7229F-A443-49CD-BF0C-DB91D5206828}">
  <ds:schemaRefs>
    <ds:schemaRef ds:uri="http://schemas.microsoft.com/office/2006/metadata/properties"/>
    <ds:schemaRef ds:uri="http://schemas.microsoft.com/office/infopath/2007/PartnerControls"/>
    <ds:schemaRef ds:uri="bc3a7c7f-f5d4-4b17-bf27-74c6d6a92b36"/>
    <ds:schemaRef ds:uri="863296c3-7541-4442-bcb1-79403d3af2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 2</vt:lpstr>
      <vt:lpstr>Sheet 3</vt:lpstr>
      <vt:lpstr>Sheet 4</vt:lpstr>
      <vt:lpstr>Sheet 5</vt:lpstr>
      <vt:lpstr>Sheet 6</vt:lpstr>
      <vt:lpstr>Sheet 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 Joshi</dc:creator>
  <cp:keywords/>
  <dc:description/>
  <cp:lastModifiedBy>Lf</cp:lastModifiedBy>
  <cp:revision/>
  <dcterms:created xsi:type="dcterms:W3CDTF">2024-07-22T08:41:00Z</dcterms:created>
  <dcterms:modified xsi:type="dcterms:W3CDTF">2026-03-17T08:06:30Z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ContentTypeId">
    <vt:lpwstr>0x010100B8A4A7A491EB404BA91B5C028E4DE3B1</vt:lpwstr>
  </property>
  <property fmtid="{D5CDD505-2E9C-101B-9397-08002B2CF9AE}" pid="4" name="MediaServiceImageTags">
    <vt:lpwstr/>
  </property>
</Properties>
</file>